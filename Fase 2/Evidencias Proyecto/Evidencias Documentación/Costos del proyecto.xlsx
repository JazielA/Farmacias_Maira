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omidev\Downloads\"/>
    </mc:Choice>
  </mc:AlternateContent>
  <xr:revisionPtr revIDLastSave="0" documentId="13_ncr:1_{E6E0FDBA-B3B3-4672-B1BE-04CD115D556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ostos simples del 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90VQSmriGLengLovdDmOZ6mU4M2lHjjTfXIaA82xMQg=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3" i="1" s="1"/>
</calcChain>
</file>

<file path=xl/sharedStrings.xml><?xml version="1.0" encoding="utf-8"?>
<sst xmlns="http://schemas.openxmlformats.org/spreadsheetml/2006/main" count="34" uniqueCount="26">
  <si>
    <t>PLANTILLA DE COSTOS SIMPLES DEL PROYECTO</t>
  </si>
  <si>
    <t>Título del proyecto: Maira Analytics</t>
  </si>
  <si>
    <t>TOTAL PROMEDIO PONDERADO ACUMULADO:</t>
  </si>
  <si>
    <t>DETALLES</t>
  </si>
  <si>
    <t>ESCENARIOS DE ESTIMACIÓN DE COSTOS DE TRES PUNTOS</t>
  </si>
  <si>
    <t>PROMEDIO PONDERADO</t>
  </si>
  <si>
    <t>INFORMACIÓN ADICIONAL/NOTAS</t>
  </si>
  <si>
    <t>FECHA</t>
  </si>
  <si>
    <t>DESCRIPCIÓN DEL ARTÍCULO/TAREA</t>
  </si>
  <si>
    <t>RECOPILADO POR</t>
  </si>
  <si>
    <t>MEJOR CASO</t>
  </si>
  <si>
    <t>LO MÁS PROBABLE / REALISTA</t>
  </si>
  <si>
    <t>PEOR CASO</t>
  </si>
  <si>
    <t>Full Stack Developer (Sebastian)</t>
  </si>
  <si>
    <t>Thomas Rojas</t>
  </si>
  <si>
    <t>Full Stack Developer (Jaziel)</t>
  </si>
  <si>
    <t>Full Stack Developer (Thomas)</t>
  </si>
  <si>
    <t>Hosting BD Supabase Plan PRO</t>
  </si>
  <si>
    <r>
      <rPr>
        <sz val="9"/>
        <color theme="1"/>
        <rFont val="Century Gothic"/>
      </rPr>
      <t xml:space="preserve">Valor </t>
    </r>
    <r>
      <rPr>
        <b/>
        <sz val="9"/>
        <color theme="1"/>
        <rFont val="Century Gothic"/>
      </rPr>
      <t>mensual</t>
    </r>
    <r>
      <rPr>
        <sz val="9"/>
        <color theme="1"/>
        <rFont val="Century Gothic"/>
      </rPr>
      <t xml:space="preserve"> por el plan PRO en Supabase.</t>
    </r>
  </si>
  <si>
    <t>Hosting FrontEnd Vercel</t>
  </si>
  <si>
    <r>
      <rPr>
        <sz val="9"/>
        <color theme="1"/>
        <rFont val="Century Gothic"/>
      </rPr>
      <t xml:space="preserve">Valor </t>
    </r>
    <r>
      <rPr>
        <b/>
        <sz val="9"/>
        <color theme="1"/>
        <rFont val="Century Gothic"/>
      </rPr>
      <t>mensual</t>
    </r>
    <r>
      <rPr>
        <sz val="9"/>
        <color theme="1"/>
        <rFont val="Century Gothic"/>
      </rPr>
      <t xml:space="preserve"> por plan PRO en Vercel.</t>
    </r>
  </si>
  <si>
    <t>Dominio web .cl</t>
  </si>
  <si>
    <r>
      <rPr>
        <sz val="9"/>
        <color theme="1"/>
        <rFont val="Century Gothic"/>
      </rPr>
      <t xml:space="preserve">DEPENDE DEL NOMBRE, Valor </t>
    </r>
    <r>
      <rPr>
        <b/>
        <sz val="9"/>
        <color theme="1"/>
        <rFont val="Century Gothic"/>
      </rPr>
      <t>anual</t>
    </r>
    <r>
      <rPr>
        <sz val="9"/>
        <color theme="1"/>
        <rFont val="Century Gothic"/>
      </rPr>
      <t>.</t>
    </r>
  </si>
  <si>
    <t>Sueldo estimado por mes. 24 Hrs Por semana (264 hrs en total)</t>
  </si>
  <si>
    <t>Consultas limitadas (Depende de los recursos disponibles)</t>
  </si>
  <si>
    <t>API GROQ OLLAMA 3.3 70B (IA)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</si>
</sst>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"/>
    <numFmt numFmtId="165" formatCode="d/mm/yyyy"/>
  </numFmts>
  <fonts count="14" x14ac:knownFonts="1">
    <font>
      <sz val="12"/>
      <color theme="1"/>
      <name val="Calibri"/>
      <scheme val="minor"/>
    </font>
    <font>
      <sz val="12"/>
      <color theme="1"/>
      <name val="Arial"/>
    </font>
    <font>
      <b/>
      <sz val="22"/>
      <color rgb="FF595959"/>
      <name val="Century Gothic"/>
    </font>
    <font>
      <b/>
      <sz val="22"/>
      <color rgb="FF7F7F7F"/>
      <name val="Century Gothic"/>
    </font>
    <font>
      <sz val="12"/>
      <color theme="1"/>
      <name val="Century Gothic"/>
    </font>
    <font>
      <sz val="11"/>
      <color theme="1"/>
      <name val="Century Gothic"/>
    </font>
    <font>
      <sz val="10"/>
      <color theme="1"/>
      <name val="Century Gothic"/>
    </font>
    <font>
      <b/>
      <sz val="12"/>
      <color rgb="FF7B7B7B"/>
      <name val="Century Gothic"/>
    </font>
    <font>
      <b/>
      <sz val="10"/>
      <color theme="0"/>
      <name val="Century Gothic"/>
    </font>
    <font>
      <sz val="12"/>
      <name val="Calibri"/>
    </font>
    <font>
      <b/>
      <sz val="10"/>
      <color theme="1"/>
      <name val="Century Gothic"/>
    </font>
    <font>
      <sz val="9"/>
      <color theme="1"/>
      <name val="Century Gothic"/>
    </font>
    <font>
      <u/>
      <sz val="22"/>
      <color theme="0"/>
      <name val="Century Gothic"/>
    </font>
    <font>
      <b/>
      <sz val="9"/>
      <color theme="1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rgb="FF222A35"/>
        <bgColor rgb="FF222A35"/>
      </patternFill>
    </fill>
    <fill>
      <patternFill patternType="solid">
        <fgColor rgb="FF333F4F"/>
        <bgColor rgb="FF333F4F"/>
      </patternFill>
    </fill>
    <fill>
      <patternFill patternType="solid">
        <fgColor rgb="FF525252"/>
        <bgColor rgb="FF525252"/>
      </patternFill>
    </fill>
    <fill>
      <patternFill patternType="solid">
        <fgColor rgb="FF7F7F7F"/>
        <bgColor rgb="FF7F7F7F"/>
      </patternFill>
    </fill>
    <fill>
      <patternFill patternType="solid">
        <fgColor rgb="FF8496B0"/>
        <bgColor rgb="FF8496B0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thin">
        <color rgb="FFA5A5A5"/>
      </bottom>
      <diagonal/>
    </border>
    <border>
      <left/>
      <right/>
      <top style="medium">
        <color rgb="FFBFBFBF"/>
      </top>
      <bottom style="thin">
        <color rgb="FFA5A5A5"/>
      </bottom>
      <diagonal/>
    </border>
    <border>
      <left/>
      <right style="thin">
        <color rgb="FFA5A5A5"/>
      </right>
      <top style="medium">
        <color rgb="FFBFBFBF"/>
      </top>
      <bottom style="thin">
        <color rgb="FFA5A5A5"/>
      </bottom>
      <diagonal/>
    </border>
    <border>
      <left style="thin">
        <color rgb="FFA5A5A5"/>
      </left>
      <right/>
      <top style="medium">
        <color rgb="FFBFBFBF"/>
      </top>
      <bottom style="thin">
        <color rgb="FFA5A5A5"/>
      </bottom>
      <diagonal/>
    </border>
    <border>
      <left/>
      <right style="double">
        <color rgb="FFBFBFBF"/>
      </right>
      <top style="medium">
        <color rgb="FFBFBFBF"/>
      </top>
      <bottom style="thin">
        <color rgb="FFA5A5A5"/>
      </bottom>
      <diagonal/>
    </border>
    <border>
      <left style="double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BFBFBF"/>
      </right>
      <top style="thin">
        <color rgb="FFA5A5A5"/>
      </top>
      <bottom style="thin">
        <color rgb="FFA5A5A5"/>
      </bottom>
      <diagonal/>
    </border>
    <border>
      <left style="double">
        <color rgb="FFBFBFBF"/>
      </left>
      <right style="medium">
        <color rgb="FFBFBFBF"/>
      </right>
      <top/>
      <bottom style="thin">
        <color rgb="FFA5A5A5"/>
      </bottom>
      <diagonal/>
    </border>
    <border>
      <left/>
      <right style="medium">
        <color rgb="FFBFBFBF"/>
      </right>
      <top/>
      <bottom style="thin">
        <color rgb="FFA5A5A5"/>
      </bottom>
      <diagonal/>
    </border>
    <border>
      <left style="medium">
        <color rgb="FFBFBFB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BFBFBF"/>
      </left>
      <right style="medium">
        <color rgb="FFBFBFBF"/>
      </right>
      <top style="thin">
        <color rgb="FFA5A5A5"/>
      </top>
      <bottom style="thin">
        <color rgb="FFA5A5A5"/>
      </bottom>
      <diagonal/>
    </border>
    <border>
      <left/>
      <right style="medium">
        <color rgb="FFBFBFBF"/>
      </right>
      <top style="thin">
        <color rgb="FFA5A5A5"/>
      </top>
      <bottom style="thin">
        <color rgb="FFA5A5A5"/>
      </bottom>
      <diagonal/>
    </border>
    <border>
      <left/>
      <right style="medium">
        <color rgb="FFBFBFBF"/>
      </right>
      <top style="thin">
        <color rgb="FFA5A5A5"/>
      </top>
      <bottom style="thin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164" fontId="11" fillId="0" borderId="10" xfId="0" applyNumberFormat="1" applyFont="1" applyBorder="1" applyAlignment="1">
      <alignment vertical="center" wrapText="1"/>
    </xf>
    <xf numFmtId="164" fontId="11" fillId="0" borderId="11" xfId="0" applyNumberFormat="1" applyFont="1" applyBorder="1" applyAlignment="1">
      <alignment vertical="center" wrapText="1"/>
    </xf>
    <xf numFmtId="164" fontId="11" fillId="0" borderId="15" xfId="0" applyNumberFormat="1" applyFont="1" applyBorder="1" applyAlignment="1">
      <alignment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7" borderId="10" xfId="0" applyFont="1" applyFill="1" applyBorder="1" applyAlignment="1">
      <alignment horizontal="left" vertical="center" wrapText="1"/>
    </xf>
    <xf numFmtId="164" fontId="11" fillId="8" borderId="15" xfId="0" applyNumberFormat="1" applyFont="1" applyFill="1" applyBorder="1" applyAlignment="1">
      <alignment vertical="center" wrapText="1"/>
    </xf>
    <xf numFmtId="164" fontId="11" fillId="9" borderId="10" xfId="0" applyNumberFormat="1" applyFont="1" applyFill="1" applyBorder="1" applyAlignment="1">
      <alignment vertical="center" wrapText="1"/>
    </xf>
    <xf numFmtId="0" fontId="11" fillId="10" borderId="17" xfId="0" applyFont="1" applyFill="1" applyBorder="1" applyAlignment="1">
      <alignment horizontal="left" vertical="center" wrapText="1"/>
    </xf>
    <xf numFmtId="164" fontId="11" fillId="0" borderId="10" xfId="0" applyNumberFormat="1" applyFont="1" applyBorder="1" applyAlignment="1">
      <alignment vertical="center" wrapText="1"/>
    </xf>
    <xf numFmtId="164" fontId="11" fillId="0" borderId="11" xfId="0" applyNumberFormat="1" applyFont="1" applyBorder="1" applyAlignment="1">
      <alignment vertical="center" wrapText="1"/>
    </xf>
    <xf numFmtId="0" fontId="11" fillId="0" borderId="1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Font="1" applyAlignment="1"/>
    <xf numFmtId="0" fontId="6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8" fillId="4" borderId="6" xfId="0" applyFont="1" applyFill="1" applyBorder="1" applyAlignment="1">
      <alignment horizontal="center" vertical="center" wrapText="1"/>
    </xf>
    <xf numFmtId="0" fontId="9" fillId="0" borderId="12" xfId="0" applyFont="1" applyBorder="1"/>
    <xf numFmtId="0" fontId="8" fillId="5" borderId="7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12" fillId="0" borderId="18" xfId="0" applyFont="1" applyBorder="1" applyAlignment="1">
      <alignment horizontal="center" vertical="center" wrapText="1"/>
    </xf>
    <xf numFmtId="0" fontId="9" fillId="0" borderId="19" xfId="0" applyFont="1" applyBorder="1"/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6000"/>
  </sheetPr>
  <dimension ref="A1:Z1000"/>
  <sheetViews>
    <sheetView showGridLines="0" tabSelected="1" workbookViewId="0">
      <pane ySplit="1" topLeftCell="A2" activePane="bottomLeft" state="frozen"/>
      <selection pane="bottomLeft" activeCell="E18" sqref="E18"/>
    </sheetView>
  </sheetViews>
  <sheetFormatPr baseColWidth="10" defaultColWidth="11.25" defaultRowHeight="15" customHeight="1" x14ac:dyDescent="0.25"/>
  <cols>
    <col min="1" max="1" width="3.5" customWidth="1"/>
    <col min="2" max="2" width="10.625" customWidth="1"/>
    <col min="3" max="3" width="40" customWidth="1"/>
    <col min="4" max="4" width="20" customWidth="1"/>
    <col min="5" max="5" width="16.625" customWidth="1"/>
    <col min="6" max="6" width="20.625" customWidth="1"/>
    <col min="7" max="8" width="16.625" customWidth="1"/>
    <col min="9" max="9" width="40" customWidth="1"/>
    <col min="10" max="26" width="10.75" customWidth="1"/>
  </cols>
  <sheetData>
    <row r="1" spans="1:26" ht="49.5" customHeight="1" x14ac:dyDescent="0.4">
      <c r="A1" s="1"/>
      <c r="B1" s="2" t="s">
        <v>0</v>
      </c>
      <c r="C1" s="3"/>
      <c r="D1" s="3"/>
      <c r="E1" s="4"/>
      <c r="F1" s="4"/>
      <c r="G1" s="4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" customHeight="1" x14ac:dyDescent="0.3">
      <c r="A2" s="1"/>
      <c r="B2" s="4"/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25">
      <c r="A3" s="1"/>
      <c r="B3" s="25" t="s">
        <v>1</v>
      </c>
      <c r="C3" s="26"/>
      <c r="D3" s="26"/>
      <c r="E3" s="1"/>
      <c r="F3" s="27" t="s">
        <v>2</v>
      </c>
      <c r="G3" s="26"/>
      <c r="H3" s="5">
        <f>SUM(H7:H13)</f>
        <v>3057000</v>
      </c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" customHeight="1" x14ac:dyDescent="0.3">
      <c r="A4" s="1"/>
      <c r="B4" s="4"/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B5" s="28" t="s">
        <v>3</v>
      </c>
      <c r="C5" s="29"/>
      <c r="D5" s="30"/>
      <c r="E5" s="31" t="s">
        <v>4</v>
      </c>
      <c r="F5" s="29"/>
      <c r="G5" s="32"/>
      <c r="H5" s="33" t="s">
        <v>5</v>
      </c>
      <c r="I5" s="35" t="s">
        <v>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 x14ac:dyDescent="0.25">
      <c r="B6" s="7" t="s">
        <v>7</v>
      </c>
      <c r="C6" s="8" t="s">
        <v>8</v>
      </c>
      <c r="D6" s="8" t="s">
        <v>9</v>
      </c>
      <c r="E6" s="9" t="s">
        <v>10</v>
      </c>
      <c r="F6" s="10" t="s">
        <v>11</v>
      </c>
      <c r="G6" s="11" t="s">
        <v>12</v>
      </c>
      <c r="H6" s="34"/>
      <c r="I6" s="3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x14ac:dyDescent="0.25">
      <c r="B7" s="12">
        <v>45918</v>
      </c>
      <c r="C7" s="13" t="s">
        <v>13</v>
      </c>
      <c r="D7" s="13" t="s">
        <v>14</v>
      </c>
      <c r="E7" s="14">
        <v>1200000</v>
      </c>
      <c r="F7" s="14">
        <v>1000000</v>
      </c>
      <c r="G7" s="15">
        <v>800000</v>
      </c>
      <c r="H7" s="16">
        <f t="shared" ref="H7:H13" si="0">(E7+(4*F7)+G7)/6</f>
        <v>1000000</v>
      </c>
      <c r="I7" s="24" t="s">
        <v>23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 x14ac:dyDescent="0.25">
      <c r="B8" s="12">
        <v>45918</v>
      </c>
      <c r="C8" s="18" t="s">
        <v>15</v>
      </c>
      <c r="D8" s="18" t="s">
        <v>14</v>
      </c>
      <c r="E8" s="14">
        <v>1200000</v>
      </c>
      <c r="F8" s="14">
        <v>1000000</v>
      </c>
      <c r="G8" s="15">
        <v>800000</v>
      </c>
      <c r="H8" s="19">
        <f t="shared" si="0"/>
        <v>1000000</v>
      </c>
      <c r="I8" s="17" t="s">
        <v>23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x14ac:dyDescent="0.25">
      <c r="B9" s="12">
        <v>45918</v>
      </c>
      <c r="C9" s="13" t="s">
        <v>16</v>
      </c>
      <c r="D9" s="13" t="s">
        <v>14</v>
      </c>
      <c r="E9" s="14">
        <v>1200000</v>
      </c>
      <c r="F9" s="14">
        <v>1000000</v>
      </c>
      <c r="G9" s="15">
        <v>800000</v>
      </c>
      <c r="H9" s="16">
        <f t="shared" si="0"/>
        <v>1000000</v>
      </c>
      <c r="I9" s="17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5">
      <c r="B10" s="12">
        <v>45918</v>
      </c>
      <c r="C10" s="18" t="s">
        <v>17</v>
      </c>
      <c r="D10" s="18" t="s">
        <v>14</v>
      </c>
      <c r="E10" s="20">
        <v>25000</v>
      </c>
      <c r="F10" s="20">
        <v>25000</v>
      </c>
      <c r="G10" s="20">
        <v>25000</v>
      </c>
      <c r="H10" s="19">
        <f t="shared" si="0"/>
        <v>25000</v>
      </c>
      <c r="I10" s="21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5">
      <c r="B11" s="12">
        <v>45918</v>
      </c>
      <c r="C11" s="13" t="s">
        <v>19</v>
      </c>
      <c r="D11" s="13" t="s">
        <v>14</v>
      </c>
      <c r="E11" s="14">
        <v>20000</v>
      </c>
      <c r="F11" s="14">
        <v>20000</v>
      </c>
      <c r="G11" s="14">
        <v>20000</v>
      </c>
      <c r="H11" s="16">
        <f t="shared" si="0"/>
        <v>20000</v>
      </c>
      <c r="I11" s="17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5">
      <c r="B12" s="12">
        <v>45919</v>
      </c>
      <c r="C12" s="18" t="s">
        <v>21</v>
      </c>
      <c r="D12" s="13" t="s">
        <v>14</v>
      </c>
      <c r="E12" s="20">
        <v>12000</v>
      </c>
      <c r="F12" s="20">
        <v>12000</v>
      </c>
      <c r="G12" s="20">
        <v>12000</v>
      </c>
      <c r="H12" s="19">
        <f t="shared" si="0"/>
        <v>12000</v>
      </c>
      <c r="I12" s="21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 x14ac:dyDescent="0.25">
      <c r="B13" s="12">
        <v>45919</v>
      </c>
      <c r="C13" s="13" t="s">
        <v>25</v>
      </c>
      <c r="D13" s="13" t="s">
        <v>14</v>
      </c>
      <c r="E13" s="22">
        <v>0</v>
      </c>
      <c r="F13" s="22">
        <v>0</v>
      </c>
      <c r="G13" s="23">
        <v>0</v>
      </c>
      <c r="H13" s="16">
        <f t="shared" si="0"/>
        <v>0</v>
      </c>
      <c r="I13" s="24" t="s">
        <v>24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5">
      <c r="B15" s="37"/>
      <c r="C15" s="38"/>
      <c r="D15" s="38"/>
      <c r="E15" s="38"/>
      <c r="F15" s="38"/>
      <c r="G15" s="38"/>
      <c r="H15" s="38"/>
      <c r="I15" s="3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26" ht="19.5" customHeigh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2:26" ht="19.5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2:26" ht="19.5" customHeight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6" ht="19.5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 ht="19.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26" ht="19.5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 ht="19.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2:26" ht="19.5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2:26" ht="19.5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6" ht="19.5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2:26" ht="19.5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26" ht="19.5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2:26" ht="19.5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26" ht="19.5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2:26" ht="19.5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26" ht="19.5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9.5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9.5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 ht="19.5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 ht="19.5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 ht="49.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ht="21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ht="21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ht="21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ht="21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ht="21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ht="21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ht="21" customHeigh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ht="21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ht="21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ht="21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ht="21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ht="21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ht="15.7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ht="15.75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ht="15.7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ht="15.75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ht="15.7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ht="15.75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ht="15.75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ht="15.7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ht="15.7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ht="15.7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ht="15.7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ht="15.7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ht="15.7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ht="15.7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ht="15.7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ht="15.7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ht="15.7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ht="15.7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ht="15.7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I5:I6"/>
    <mergeCell ref="B15:I15"/>
    <mergeCell ref="B3:D3"/>
    <mergeCell ref="F3:G3"/>
    <mergeCell ref="B5:D5"/>
    <mergeCell ref="E5:G5"/>
    <mergeCell ref="H5:H6"/>
  </mergeCells>
  <printOptions horizontalCentered="1" verticalCentered="1"/>
  <pageMargins left="0.25" right="0.25" top="0.25" bottom="0.25" header="0" footer="0"/>
  <pageSetup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simples del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Thomas Oliver Rojas</cp:lastModifiedBy>
  <dcterms:created xsi:type="dcterms:W3CDTF">2016-02-17T05:52:24Z</dcterms:created>
  <dcterms:modified xsi:type="dcterms:W3CDTF">2025-10-23T01:07:15Z</dcterms:modified>
</cp:coreProperties>
</file>