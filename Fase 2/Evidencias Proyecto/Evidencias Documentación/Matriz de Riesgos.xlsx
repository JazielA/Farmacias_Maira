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Registro de Riesgos" sheetId="2" r:id="rId5"/>
  </sheets>
  <externalReferences>
    <externalReference r:id="rId6"/>
  </externalReferences>
  <definedNames>
    <definedName name="Type">'[1]Maintenance Work Order'!#REF!</definedName>
  </definedNames>
  <calcPr/>
  <extLst>
    <ext uri="GoogleSheetsCustomDataVersion2">
      <go:sheetsCustomData xmlns:go="http://customooxmlschemas.google.com/" r:id="rId7" roundtripDataChecksum="jrIAM4iizhlgqp/wwYBecGw2YWSOmsuzc3/xcgNxa4s="/>
    </ext>
  </extLst>
</workbook>
</file>

<file path=xl/sharedStrings.xml><?xml version="1.0" encoding="utf-8"?>
<sst xmlns="http://schemas.openxmlformats.org/spreadsheetml/2006/main" count="197" uniqueCount="180">
  <si>
    <t>PROPIEDAD DEL PROYECTO</t>
  </si>
  <si>
    <t>NOMBRE DEL PROYECTO</t>
  </si>
  <si>
    <t>Maira Analytics</t>
  </si>
  <si>
    <t>VISIÓN GENERAL DEL PROYECTO</t>
  </si>
  <si>
    <t>NOMBRE DEL GERENTE DE PROYECTO</t>
  </si>
  <si>
    <t>Sebastian Morales</t>
  </si>
  <si>
    <t>INFORMACIÓN DE CONTACTO</t>
  </si>
  <si>
    <t>TELÉFONO</t>
  </si>
  <si>
    <t>CORREO ELECTRÓNICO</t>
  </si>
  <si>
    <t>DIRECCIÓN POSTAL</t>
  </si>
  <si>
    <t>VERSIÓN DEL PLAN</t>
  </si>
  <si>
    <t>VERSIÓN</t>
  </si>
  <si>
    <t>FECHA</t>
  </si>
  <si>
    <t>AUTOR</t>
  </si>
  <si>
    <t>1.0</t>
  </si>
  <si>
    <t>1.1</t>
  </si>
  <si>
    <t>1.2</t>
  </si>
  <si>
    <t>1.3</t>
  </si>
  <si>
    <t>RAZÓN</t>
  </si>
  <si>
    <t>PLANTILLA DE REGISTRO DE RIESGOS</t>
  </si>
  <si>
    <t>ID de REFERENCIA</t>
  </si>
  <si>
    <t>RIESGO</t>
  </si>
  <si>
    <t>DESENCADENANTE DE RIESGOS</t>
  </si>
  <si>
    <t>CATEGORÍA DE RIESGO</t>
  </si>
  <si>
    <t>PROBABILIDAD
1 – 3</t>
  </si>
  <si>
    <t>IMPACTO
1 – 3</t>
  </si>
  <si>
    <t>PUNTUACIÓN PI
Prob x Impacto</t>
  </si>
  <si>
    <t>Resultado esperado | SIN ACCIÓN</t>
  </si>
  <si>
    <t>PROBABILIDAD
1 – 3 CLAVE</t>
  </si>
  <si>
    <t>IMPACTO
1 – 3 CLAVE</t>
  </si>
  <si>
    <t>RI-001</t>
  </si>
  <si>
    <t>Retraso en credenciales del POS</t>
  </si>
  <si>
    <t>Cliente demora entrega o revoca acceso</t>
  </si>
  <si>
    <t>Integraciones y Accesos</t>
  </si>
  <si>
    <t>Bloqueo de ingesta y atraso del sprint</t>
  </si>
  <si>
    <t>RI-002</t>
  </si>
  <si>
    <t>Sin acceso a productos de proveedores web (API/portal)</t>
  </si>
  <si>
    <t>Credenciales expiradas/ausentes</t>
  </si>
  <si>
    <t>No se puede cotizar precio/disponibilidad; se detiene el módulo y se afecta la reposición/decisiones de compra</t>
  </si>
  <si>
    <t>RI-003</t>
  </si>
  <si>
    <t>Cambios en endpoint/esquema POS</t>
  </si>
  <si>
    <t>Actualización del POS rompe contratos</t>
  </si>
  <si>
    <t>Errores en servicios y ETL</t>
  </si>
  <si>
    <t>RI-004</t>
  </si>
  <si>
    <t>Límite de tasa en API externa</t>
  </si>
  <si>
    <t>Proveedor impone throttling</t>
  </si>
  <si>
    <t>Integraciones y accesos</t>
  </si>
  <si>
    <t>Respuestas lentas/fallos</t>
  </si>
  <si>
    <t>RI-005</t>
  </si>
  <si>
    <t>Bloqueo de scraping (CAPTCHA/anti-bot</t>
  </si>
  <si>
    <t>Activación de protección</t>
  </si>
  <si>
    <t>Sin precios/stock consolidados</t>
  </si>
  <si>
    <t>RI-006</t>
  </si>
  <si>
    <t>Cambios de UI del proveedor</t>
  </si>
  <si>
    <t>Modifican selectores/páginas</t>
  </si>
  <si>
    <t>Scraper falla y retrabajo</t>
  </si>
  <si>
    <t>RI-007</t>
  </si>
  <si>
    <t>CORS o firewall bloquea API</t>
  </si>
  <si>
    <t>Restricción de origen/red</t>
  </si>
  <si>
    <t>Imposible consumir servicio</t>
  </si>
  <si>
    <t>RI-008</t>
  </si>
  <si>
    <t>Calidad de datos baja</t>
  </si>
  <si>
    <t>Nombres duplicados/erróneos</t>
  </si>
  <si>
    <t>Datos y calidad de datos</t>
  </si>
  <si>
    <t>KPIs/comparaciones incorrectas</t>
  </si>
  <si>
    <t>RI-009</t>
  </si>
  <si>
    <t>Unidades/concentración inconsistentes</t>
  </si>
  <si>
    <t>Presentaciones heterogéneas</t>
  </si>
  <si>
    <t>Comparaciones erróneas</t>
  </si>
  <si>
    <t>RI-010</t>
  </si>
  <si>
    <t>Formatos Excel heterogéneos</t>
  </si>
  <si>
    <t>Columnas/hojas distintas</t>
  </si>
  <si>
    <t>Fallas de carga y reprocesos</t>
  </si>
  <si>
    <t>RI-011</t>
  </si>
  <si>
    <t>Fechas mal interpretadas</t>
  </si>
  <si>
    <t>Diferencias de zona horaria/locale</t>
  </si>
  <si>
    <t>KPIs por día incorrectos</t>
  </si>
  <si>
    <t>RI-012</t>
  </si>
  <si>
    <t>ETL fuera de tiempo</t>
  </si>
  <si>
    <t>Jobs no terminan o fallan</t>
  </si>
  <si>
    <t>Rendimiento y disponibilidad</t>
  </si>
  <si>
    <t>Dashboards desactualizados</t>
  </si>
  <si>
    <t>RI-013</t>
  </si>
  <si>
    <t>Dashboards lentos</t>
  </si>
  <si>
    <t>Consultas pesadas/sin índices</t>
  </si>
  <si>
    <t>Mala experiencia</t>
  </si>
  <si>
    <t>RI-014</t>
  </si>
  <si>
    <t>Caída de servicios externos</t>
  </si>
  <si>
    <t>Downtime de hosting/BD</t>
  </si>
  <si>
    <t>Indisponibilidad temporal</t>
  </si>
  <si>
    <t>RI-015</t>
  </si>
  <si>
    <t>Exposición de credenciales</t>
  </si>
  <si>
    <t>Secretos en repo/intercambio inseguro</t>
  </si>
  <si>
    <t>Seguridad técnica</t>
  </si>
  <si>
    <t>Acceso no autorizado</t>
  </si>
  <si>
    <t>RI-016</t>
  </si>
  <si>
    <t>Incumplimiento de ToS/uso de datos</t>
  </si>
  <si>
    <t>Restricciones de proveedores</t>
  </si>
  <si>
    <t>Bloqueos o requerimientos legales</t>
  </si>
  <si>
    <t>RI-017</t>
  </si>
  <si>
    <t>Baja disponibilidad del PO</t>
  </si>
  <si>
    <t>No asiste a demos/no responde</t>
  </si>
  <si>
    <t>Stakeholders y comunicación</t>
  </si>
  <si>
    <t>Retrabajo y decisiones tardías</t>
  </si>
  <si>
    <t>RI-018</t>
  </si>
  <si>
    <t>Cambios de alcance en sprint</t>
  </si>
  <si>
    <t>Nuevas solicitudes “urgentes”</t>
  </si>
  <si>
    <t>Planificación y alcance</t>
  </si>
  <si>
    <t>Atraso/sobrecarga</t>
  </si>
  <si>
    <t>RI-019</t>
  </si>
  <si>
    <t>Capacidad del equipo reducida</t>
  </si>
  <si>
    <t>Enfermedad/ausencias</t>
  </si>
  <si>
    <t>Recursos y capacidad</t>
  </si>
  <si>
    <t>Entregas parciales</t>
  </si>
  <si>
    <t>RI-020</t>
  </si>
  <si>
    <t>Pérdida/corrupción de datos</t>
  </si>
  <si>
    <t>Migraciones/scripts erróneos</t>
  </si>
  <si>
    <t>Operación</t>
  </si>
  <si>
    <t>Interrupción y pérdida</t>
  </si>
  <si>
    <t>RI-021</t>
  </si>
  <si>
    <t>Falta de monitoreo/logs útiles</t>
  </si>
  <si>
    <t>Sin métricas/alertas</t>
  </si>
  <si>
    <t>Detección tardía de fallas</t>
  </si>
  <si>
    <t>RI-022</t>
  </si>
  <si>
    <t>Conflictos de merge</t>
  </si>
  <si>
    <t>PRs grandes/sin revisión</t>
  </si>
  <si>
    <t>Gobernanza de riesgos y seguimiento</t>
  </si>
  <si>
    <t>Retrabajo y build roto</t>
  </si>
  <si>
    <t>RI-023</t>
  </si>
  <si>
    <t>Adopción baja del usuario</t>
  </si>
  <si>
    <t>Panel poco claro/útil</t>
  </si>
  <si>
    <t>Adopción y capacitación</t>
  </si>
  <si>
    <t>Panel no se usa</t>
  </si>
  <si>
    <t>RI-024</t>
  </si>
  <si>
    <t>Costos no previstos</t>
  </si>
  <si>
    <t>Servicios/licencias inesperadas</t>
  </si>
  <si>
    <t>Costos y presupuesto</t>
  </si>
  <si>
    <t>Sobrecosto</t>
  </si>
  <si>
    <t>RI-025</t>
  </si>
  <si>
    <t>Dependencias de terceros críticas</t>
  </si>
  <si>
    <t>Un solo proveedor clave</t>
  </si>
  <si>
    <t>Dependencias de terceros</t>
  </si>
  <si>
    <t>Punto único de falla</t>
  </si>
  <si>
    <t>RI-026</t>
  </si>
  <si>
    <t>RI-027</t>
  </si>
  <si>
    <t>RI-028</t>
  </si>
  <si>
    <t>RI-029</t>
  </si>
  <si>
    <t>RI-030</t>
  </si>
  <si>
    <t>RI-031</t>
  </si>
  <si>
    <t>RI-032</t>
  </si>
  <si>
    <t>RI-033</t>
  </si>
  <si>
    <t>RI-034</t>
  </si>
  <si>
    <t>RI-035</t>
  </si>
  <si>
    <t>RI-036</t>
  </si>
  <si>
    <t>RI-037</t>
  </si>
  <si>
    <t>RI-038</t>
  </si>
  <si>
    <t>RI-039</t>
  </si>
  <si>
    <t>RI-040</t>
  </si>
  <si>
    <t>RI-041</t>
  </si>
  <si>
    <t>RI-042</t>
  </si>
  <si>
    <t>RI-043</t>
  </si>
  <si>
    <t>RI-044</t>
  </si>
  <si>
    <t>RI-045</t>
  </si>
  <si>
    <t>RI-046</t>
  </si>
  <si>
    <t>RI-047</t>
  </si>
  <si>
    <t>RI-048</t>
  </si>
  <si>
    <t>RI-049</t>
  </si>
  <si>
    <t>RI-050</t>
  </si>
  <si>
    <t>RI-051</t>
  </si>
  <si>
    <t>RI-052</t>
  </si>
  <si>
    <t>RI-053</t>
  </si>
  <si>
    <t>RI-054</t>
  </si>
  <si>
    <t>RI-055</t>
  </si>
  <si>
    <t>RI-056</t>
  </si>
  <si>
    <t>RI-057</t>
  </si>
  <si>
    <t>RI-058</t>
  </si>
  <si>
    <t>RI-059</t>
  </si>
  <si>
    <t>RI-060</t>
  </si>
  <si>
    <t>RI-061</t>
  </si>
  <si>
    <t>RI-062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</si>
</sst>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[$-F800]dddd\,\ mmmm\ dd\,\ yyyy"/>
  </numFmts>
  <fonts count="16">
    <font>
      <sz val="12.0"/>
      <color theme="1"/>
      <name val="Calibri"/>
      <scheme val="minor"/>
    </font>
    <font>
      <b/>
      <sz val="10.0"/>
      <color theme="0"/>
      <name val="Century Gothic"/>
    </font>
    <font/>
    <font>
      <b/>
      <sz val="9.0"/>
      <color rgb="FF525252"/>
      <name val="Century Gothic"/>
    </font>
    <font>
      <b/>
      <sz val="9.0"/>
      <color theme="1"/>
      <name val="Century Gothic"/>
    </font>
    <font>
      <sz val="9.0"/>
      <color rgb="FF1F3864"/>
      <name val="Century Gothic"/>
    </font>
    <font>
      <b/>
      <sz val="9.0"/>
      <color rgb="FF1F3864"/>
      <name val="Century Gothic"/>
    </font>
    <font>
      <sz val="9.0"/>
      <color theme="1"/>
      <name val="Century Gothic"/>
    </font>
    <font>
      <sz val="12.0"/>
      <color theme="1"/>
      <name val="Arial"/>
    </font>
    <font>
      <b/>
      <sz val="22.0"/>
      <color rgb="FF7F7F7F"/>
      <name val="Century Gothic"/>
    </font>
    <font>
      <b/>
      <sz val="22.0"/>
      <color theme="4"/>
      <name val="Century Gothic"/>
    </font>
    <font>
      <b/>
      <sz val="10.0"/>
      <color rgb="FFFFFFFF"/>
      <name val="Century Gothic"/>
    </font>
    <font>
      <sz val="10.0"/>
      <color theme="1"/>
      <name val="Calibri"/>
    </font>
    <font>
      <sz val="10.0"/>
      <color theme="1"/>
      <name val="Century Gothic"/>
    </font>
    <font>
      <b/>
      <sz val="10.0"/>
      <color theme="1"/>
      <name val="Century Gothic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25252"/>
        <bgColor rgb="FF525252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</fills>
  <borders count="32">
    <border/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double">
        <color rgb="FFA5A5A5"/>
      </bottom>
    </border>
    <border>
      <left style="thin">
        <color rgb="FFA5A5A5"/>
      </left>
      <top style="thin">
        <color rgb="FFA5A5A5"/>
      </top>
      <bottom style="double">
        <color rgb="FFA5A5A5"/>
      </bottom>
    </border>
    <border>
      <top style="thin">
        <color rgb="FFA5A5A5"/>
      </top>
      <bottom style="double">
        <color rgb="FFA5A5A5"/>
      </bottom>
    </border>
    <border>
      <right style="thin">
        <color rgb="FFA5A5A5"/>
      </right>
      <top style="thin">
        <color rgb="FFA5A5A5"/>
      </top>
      <bottom style="double">
        <color rgb="FFA5A5A5"/>
      </bottom>
    </border>
    <border>
      <left style="thin">
        <color rgb="FFA5A5A5"/>
      </left>
      <right/>
      <top/>
      <bottom style="double">
        <color rgb="FFA5A5A5"/>
      </bottom>
    </border>
    <border>
      <left style="thin">
        <color rgb="FFA5A5A5"/>
      </left>
      <bottom style="double">
        <color rgb="FFA5A5A5"/>
      </bottom>
    </border>
    <border>
      <bottom style="double">
        <color rgb="FFA5A5A5"/>
      </bottom>
    </border>
    <border>
      <right style="thin">
        <color rgb="FFA5A5A5"/>
      </right>
      <bottom style="double">
        <color rgb="FFA5A5A5"/>
      </bottom>
    </border>
    <border>
      <left style="thin">
        <color rgb="FFA5A5A5"/>
      </left>
      <top style="double">
        <color rgb="FFA5A5A5"/>
      </top>
      <bottom style="thin">
        <color rgb="FFA5A5A5"/>
      </bottom>
    </border>
    <border>
      <right style="thin">
        <color rgb="FFA5A5A5"/>
      </right>
      <top style="double">
        <color rgb="FFA5A5A5"/>
      </top>
      <bottom style="thin">
        <color rgb="FFA5A5A5"/>
      </bottom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</border>
    <border>
      <right style="thin">
        <color rgb="FFA5A5A5"/>
      </right>
    </border>
    <border>
      <left style="thin">
        <color rgb="FFA5A5A5"/>
      </left>
      <right style="thin">
        <color rgb="FFA5A5A5"/>
      </right>
      <bottom style="double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BFBFBF"/>
      </left>
      <top style="thin">
        <color rgb="FFA5A5A5"/>
      </top>
      <bottom style="thin">
        <color rgb="FFBFBFBF"/>
      </bottom>
    </border>
    <border>
      <right style="thin">
        <color rgb="FFBFBFBF"/>
      </right>
      <top style="thin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4" fontId="3" numFmtId="0" xfId="0" applyAlignment="1" applyBorder="1" applyFill="1" applyFont="1">
      <alignment horizontal="left" shrinkToFit="0" vertical="center" wrapText="1"/>
    </xf>
    <xf borderId="9" fillId="0" fontId="4" numFmtId="164" xfId="0" applyAlignment="1" applyBorder="1" applyFont="1" applyNumberFormat="1">
      <alignment horizontal="left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0" fontId="4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16" fillId="3" fontId="3" numFmtId="0" xfId="0" applyAlignment="1" applyBorder="1" applyFont="1">
      <alignment horizontal="left" shrinkToFit="0" vertical="center" wrapText="1"/>
    </xf>
    <xf borderId="17" fillId="4" fontId="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6" fillId="4" fontId="3" numFmtId="0" xfId="0" applyAlignment="1" applyBorder="1" applyFont="1">
      <alignment horizontal="left" shrinkToFit="0" vertical="center" wrapText="1"/>
    </xf>
    <xf borderId="19" fillId="0" fontId="5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14" fillId="0" fontId="2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5" fillId="4" fontId="3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4" fontId="3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27" fillId="0" fontId="7" numFmtId="165" xfId="0" applyAlignment="1" applyBorder="1" applyFont="1" applyNumberFormat="1">
      <alignment horizontal="center" shrinkToFit="0" vertical="center" wrapText="1"/>
    </xf>
    <xf borderId="27" fillId="0" fontId="7" numFmtId="0" xfId="0" applyAlignment="1" applyBorder="1" applyFont="1">
      <alignment horizontal="left" shrinkToFit="0" vertical="center" wrapText="1"/>
    </xf>
    <xf borderId="27" fillId="0" fontId="7" numFmtId="165" xfId="0" applyAlignment="1" applyBorder="1" applyFont="1" applyNumberFormat="1">
      <alignment horizontal="center" readingOrder="0" shrinkToFit="0" vertical="center" wrapText="1"/>
    </xf>
    <xf borderId="28" fillId="4" fontId="3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0" fillId="0" fontId="8" numFmtId="0" xfId="0" applyAlignment="1" applyFont="1">
      <alignment horizontal="left" shrinkToFit="0" wrapText="1"/>
    </xf>
    <xf borderId="0" fillId="0" fontId="9" numFmtId="0" xfId="0" applyAlignment="1" applyFont="1">
      <alignment vertical="center"/>
    </xf>
    <xf borderId="0" fillId="0" fontId="10" numFmtId="0" xfId="0" applyFont="1"/>
    <xf borderId="27" fillId="5" fontId="1" numFmtId="0" xfId="0" applyAlignment="1" applyBorder="1" applyFill="1" applyFont="1">
      <alignment horizontal="left" shrinkToFit="0" vertical="center" wrapText="1"/>
    </xf>
    <xf borderId="31" fillId="6" fontId="1" numFmtId="0" xfId="0" applyAlignment="1" applyBorder="1" applyFill="1" applyFont="1">
      <alignment horizontal="left" shrinkToFit="0" vertical="center" wrapText="1"/>
    </xf>
    <xf borderId="27" fillId="5" fontId="11" numFmtId="0" xfId="0" applyAlignment="1" applyBorder="1" applyFont="1">
      <alignment horizontal="left" readingOrder="0" shrinkToFit="0" vertical="center" wrapText="1"/>
    </xf>
    <xf borderId="0" fillId="0" fontId="12" numFmtId="0" xfId="0" applyFont="1"/>
    <xf borderId="27" fillId="0" fontId="13" numFmtId="0" xfId="0" applyAlignment="1" applyBorder="1" applyFont="1">
      <alignment horizontal="left" readingOrder="0" shrinkToFit="0" vertical="center" wrapText="1"/>
    </xf>
    <xf borderId="27" fillId="7" fontId="13" numFmtId="0" xfId="0" applyAlignment="1" applyBorder="1" applyFill="1" applyFont="1">
      <alignment horizontal="left" readingOrder="0" shrinkToFit="0" vertical="center" wrapText="1"/>
    </xf>
    <xf borderId="27" fillId="0" fontId="13" numFmtId="0" xfId="0" applyAlignment="1" applyBorder="1" applyFont="1">
      <alignment horizontal="center" readingOrder="0" shrinkToFit="0" vertical="center" wrapText="1"/>
    </xf>
    <xf borderId="27" fillId="8" fontId="14" numFmtId="0" xfId="0" applyAlignment="1" applyBorder="1" applyFill="1" applyFont="1">
      <alignment horizontal="center" shrinkToFit="0" vertical="center" wrapText="1"/>
    </xf>
    <xf borderId="27" fillId="0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27" fillId="0" fontId="13" numFmtId="0" xfId="0" applyAlignment="1" applyBorder="1" applyFont="1">
      <alignment horizontal="left" shrinkToFit="0" vertical="center" wrapText="1"/>
    </xf>
    <xf borderId="27" fillId="7" fontId="13" numFmtId="0" xfId="0" applyAlignment="1" applyBorder="1" applyFont="1">
      <alignment horizontal="left" shrinkToFit="0" vertical="center" wrapText="1"/>
    </xf>
    <xf borderId="27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8">
    <dxf>
      <font>
        <color theme="0"/>
      </font>
      <numFmt numFmtId="0" formatCode=""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>
        <color theme="0"/>
      </font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theme="1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5.22"/>
    <col customWidth="1" min="3" max="3" width="26.67"/>
    <col customWidth="1" min="4" max="4" width="14.67"/>
    <col customWidth="1" min="5" max="26" width="10.56"/>
  </cols>
  <sheetData>
    <row r="1" ht="15.7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5" t="s">
        <v>2</v>
      </c>
      <c r="C2" s="6"/>
      <c r="D2" s="7"/>
    </row>
    <row r="3" ht="15.75" customHeight="1">
      <c r="A3" s="8" t="s">
        <v>3</v>
      </c>
      <c r="B3" s="9">
        <v>45658.0</v>
      </c>
      <c r="C3" s="10"/>
      <c r="D3" s="11"/>
    </row>
    <row r="4" ht="37.5" customHeight="1">
      <c r="A4" s="12" t="s">
        <v>4</v>
      </c>
      <c r="B4" s="13"/>
      <c r="C4" s="14" t="s">
        <v>5</v>
      </c>
      <c r="D4" s="15"/>
    </row>
    <row r="5" ht="15.75" customHeight="1">
      <c r="A5" s="16" t="s">
        <v>6</v>
      </c>
      <c r="B5" s="17" t="s">
        <v>7</v>
      </c>
      <c r="C5" s="18"/>
      <c r="D5" s="3"/>
    </row>
    <row r="6" ht="15.75" customHeight="1">
      <c r="A6" s="19"/>
      <c r="B6" s="17" t="s">
        <v>8</v>
      </c>
      <c r="C6" s="18"/>
      <c r="D6" s="3"/>
    </row>
    <row r="7" ht="15.75" customHeight="1">
      <c r="A7" s="19"/>
      <c r="B7" s="20" t="s">
        <v>9</v>
      </c>
      <c r="C7" s="21"/>
      <c r="D7" s="22"/>
    </row>
    <row r="8" ht="15.75" customHeight="1">
      <c r="A8" s="19"/>
      <c r="B8" s="19"/>
      <c r="C8" s="23"/>
      <c r="D8" s="24"/>
    </row>
    <row r="9" ht="15.75" customHeight="1">
      <c r="A9" s="25"/>
      <c r="B9" s="26"/>
      <c r="C9" s="27"/>
      <c r="D9" s="15"/>
    </row>
    <row r="10" ht="15.75" customHeight="1">
      <c r="A10" s="28"/>
      <c r="B10" s="28"/>
      <c r="C10" s="28"/>
      <c r="D10" s="29"/>
    </row>
    <row r="11" ht="15.75" customHeight="1">
      <c r="A11" s="1" t="s">
        <v>10</v>
      </c>
      <c r="B11" s="2"/>
      <c r="C11" s="2"/>
      <c r="D11" s="3"/>
    </row>
    <row r="12" ht="15.75" customHeight="1">
      <c r="A12" s="30" t="s">
        <v>11</v>
      </c>
      <c r="B12" s="31"/>
      <c r="C12" s="32" t="s">
        <v>12</v>
      </c>
      <c r="D12" s="32" t="s">
        <v>13</v>
      </c>
    </row>
    <row r="13" ht="15.75" customHeight="1">
      <c r="A13" s="33" t="s">
        <v>14</v>
      </c>
      <c r="B13" s="34"/>
      <c r="C13" s="35">
        <v>45912.0</v>
      </c>
      <c r="D13" s="36" t="s">
        <v>5</v>
      </c>
    </row>
    <row r="14" ht="15.75" customHeight="1">
      <c r="A14" s="33" t="s">
        <v>15</v>
      </c>
      <c r="B14" s="34"/>
      <c r="C14" s="37">
        <v>45916.0</v>
      </c>
      <c r="D14" s="36" t="s">
        <v>5</v>
      </c>
    </row>
    <row r="15" ht="15.75" customHeight="1">
      <c r="A15" s="33" t="s">
        <v>16</v>
      </c>
      <c r="B15" s="34"/>
      <c r="C15" s="35">
        <v>45914.0</v>
      </c>
      <c r="D15" s="36" t="s">
        <v>5</v>
      </c>
    </row>
    <row r="16" ht="15.75" customHeight="1">
      <c r="A16" s="33" t="s">
        <v>17</v>
      </c>
      <c r="B16" s="34"/>
      <c r="C16" s="35">
        <v>45915.0</v>
      </c>
      <c r="D16" s="36" t="s">
        <v>5</v>
      </c>
    </row>
    <row r="17" ht="15.75" customHeight="1">
      <c r="A17" s="38" t="s">
        <v>18</v>
      </c>
      <c r="B17" s="39"/>
      <c r="C17" s="39"/>
      <c r="D17" s="34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D1"/>
    <mergeCell ref="B2:D2"/>
    <mergeCell ref="B3:D3"/>
    <mergeCell ref="A4:B4"/>
    <mergeCell ref="C4:D4"/>
    <mergeCell ref="C5:D5"/>
    <mergeCell ref="C6:D6"/>
    <mergeCell ref="A15:B15"/>
    <mergeCell ref="A16:B16"/>
    <mergeCell ref="A17:D17"/>
    <mergeCell ref="A5:A9"/>
    <mergeCell ref="B7:B9"/>
    <mergeCell ref="C7:D9"/>
    <mergeCell ref="A11:D11"/>
    <mergeCell ref="A12:B12"/>
    <mergeCell ref="A13:B13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1.22" defaultRowHeight="15.0"/>
  <cols>
    <col customWidth="1" min="1" max="1" width="17.44"/>
    <col customWidth="1" min="2" max="2" width="19.11"/>
    <col customWidth="1" min="3" max="3" width="19.78"/>
    <col customWidth="1" min="4" max="4" width="14.44"/>
    <col customWidth="1" min="5" max="5" width="14.22"/>
    <col customWidth="1" min="6" max="6" width="9.89"/>
    <col customWidth="1" min="7" max="7" width="12.89"/>
    <col customWidth="1" min="8" max="8" width="28.78"/>
    <col customWidth="1" min="9" max="9" width="3.33"/>
    <col customWidth="1" min="10" max="10" width="13.33"/>
    <col customWidth="1" min="11" max="11" width="3.33"/>
    <col customWidth="1" min="12" max="12" width="13.33"/>
  </cols>
  <sheetData>
    <row r="1" ht="49.5" hidden="1" customHeight="1">
      <c r="A1" s="40"/>
      <c r="B1" s="40"/>
      <c r="C1" s="40"/>
      <c r="D1" s="40"/>
      <c r="E1" s="40"/>
      <c r="F1" s="40"/>
      <c r="G1" s="40"/>
      <c r="H1" s="40"/>
    </row>
    <row r="2" ht="49.5" customHeight="1">
      <c r="A2" s="41" t="s">
        <v>19</v>
      </c>
      <c r="B2" s="41"/>
      <c r="C2" s="41"/>
      <c r="D2" s="41"/>
      <c r="E2" s="42"/>
      <c r="F2" s="42"/>
      <c r="G2" s="42"/>
      <c r="H2" s="41"/>
    </row>
    <row r="3" ht="49.5" customHeight="1">
      <c r="A3" s="43" t="s">
        <v>20</v>
      </c>
      <c r="B3" s="43" t="s">
        <v>21</v>
      </c>
      <c r="C3" s="43" t="s">
        <v>22</v>
      </c>
      <c r="D3" s="43" t="s">
        <v>23</v>
      </c>
      <c r="E3" s="44" t="s">
        <v>24</v>
      </c>
      <c r="F3" s="44" t="s">
        <v>25</v>
      </c>
      <c r="G3" s="44" t="s">
        <v>26</v>
      </c>
      <c r="H3" s="45" t="s">
        <v>27</v>
      </c>
      <c r="I3" s="46"/>
      <c r="J3" s="44" t="s">
        <v>28</v>
      </c>
      <c r="K3" s="46"/>
      <c r="L3" s="44" t="s">
        <v>29</v>
      </c>
    </row>
    <row r="4" ht="52.5" customHeight="1">
      <c r="A4" s="47" t="s">
        <v>30</v>
      </c>
      <c r="B4" s="47" t="s">
        <v>31</v>
      </c>
      <c r="C4" s="47" t="s">
        <v>32</v>
      </c>
      <c r="D4" s="48" t="s">
        <v>33</v>
      </c>
      <c r="E4" s="49">
        <v>2.0</v>
      </c>
      <c r="F4" s="49">
        <v>3.0</v>
      </c>
      <c r="G4" s="50">
        <f t="shared" ref="G4:G66" si="1">E4*F4</f>
        <v>6</v>
      </c>
      <c r="H4" s="48" t="s">
        <v>34</v>
      </c>
      <c r="J4" s="51">
        <v>1.0</v>
      </c>
      <c r="K4" s="52"/>
      <c r="L4" s="51">
        <v>1.0</v>
      </c>
    </row>
    <row r="5" ht="52.5" customHeight="1">
      <c r="A5" s="47" t="s">
        <v>35</v>
      </c>
      <c r="B5" s="47" t="s">
        <v>36</v>
      </c>
      <c r="C5" s="47" t="s">
        <v>37</v>
      </c>
      <c r="D5" s="48" t="s">
        <v>33</v>
      </c>
      <c r="E5" s="49">
        <v>3.0</v>
      </c>
      <c r="F5" s="49">
        <v>3.0</v>
      </c>
      <c r="G5" s="50">
        <f t="shared" si="1"/>
        <v>9</v>
      </c>
      <c r="H5" s="48" t="s">
        <v>38</v>
      </c>
      <c r="J5" s="51">
        <v>2.0</v>
      </c>
      <c r="K5" s="52"/>
      <c r="L5" s="51">
        <v>2.0</v>
      </c>
    </row>
    <row r="6" ht="52.5" customHeight="1">
      <c r="A6" s="47" t="s">
        <v>39</v>
      </c>
      <c r="B6" s="47" t="s">
        <v>40</v>
      </c>
      <c r="C6" s="47" t="s">
        <v>41</v>
      </c>
      <c r="D6" s="48" t="s">
        <v>33</v>
      </c>
      <c r="E6" s="49">
        <v>2.0</v>
      </c>
      <c r="F6" s="49">
        <v>3.0</v>
      </c>
      <c r="G6" s="50">
        <f t="shared" si="1"/>
        <v>6</v>
      </c>
      <c r="H6" s="48" t="s">
        <v>42</v>
      </c>
      <c r="J6" s="51">
        <v>3.0</v>
      </c>
      <c r="K6" s="52"/>
      <c r="L6" s="51">
        <v>3.0</v>
      </c>
    </row>
    <row r="7" ht="52.5" customHeight="1">
      <c r="A7" s="47" t="s">
        <v>43</v>
      </c>
      <c r="B7" s="47" t="s">
        <v>44</v>
      </c>
      <c r="C7" s="47" t="s">
        <v>45</v>
      </c>
      <c r="D7" s="48" t="s">
        <v>46</v>
      </c>
      <c r="E7" s="49">
        <v>2.0</v>
      </c>
      <c r="F7" s="49">
        <v>2.0</v>
      </c>
      <c r="G7" s="50">
        <f t="shared" si="1"/>
        <v>4</v>
      </c>
      <c r="H7" s="48" t="s">
        <v>47</v>
      </c>
      <c r="K7" s="52"/>
    </row>
    <row r="8" ht="52.5" customHeight="1">
      <c r="A8" s="47" t="s">
        <v>48</v>
      </c>
      <c r="B8" s="47" t="s">
        <v>49</v>
      </c>
      <c r="C8" s="47" t="s">
        <v>50</v>
      </c>
      <c r="D8" s="48" t="s">
        <v>46</v>
      </c>
      <c r="E8" s="49">
        <v>3.0</v>
      </c>
      <c r="F8" s="49">
        <v>3.0</v>
      </c>
      <c r="G8" s="50">
        <f t="shared" si="1"/>
        <v>9</v>
      </c>
      <c r="H8" s="48" t="s">
        <v>51</v>
      </c>
      <c r="J8" s="52"/>
      <c r="K8" s="52"/>
      <c r="L8" s="52"/>
    </row>
    <row r="9" ht="52.5" customHeight="1">
      <c r="A9" s="47" t="s">
        <v>52</v>
      </c>
      <c r="B9" s="47" t="s">
        <v>53</v>
      </c>
      <c r="C9" s="47" t="s">
        <v>54</v>
      </c>
      <c r="D9" s="48" t="s">
        <v>46</v>
      </c>
      <c r="E9" s="49">
        <v>3.0</v>
      </c>
      <c r="F9" s="49">
        <v>2.0</v>
      </c>
      <c r="G9" s="50">
        <f t="shared" si="1"/>
        <v>6</v>
      </c>
      <c r="H9" s="48" t="s">
        <v>55</v>
      </c>
    </row>
    <row r="10" ht="52.5" customHeight="1">
      <c r="A10" s="47" t="s">
        <v>56</v>
      </c>
      <c r="B10" s="47" t="s">
        <v>57</v>
      </c>
      <c r="C10" s="47" t="s">
        <v>58</v>
      </c>
      <c r="D10" s="48" t="s">
        <v>46</v>
      </c>
      <c r="E10" s="49">
        <v>2.0</v>
      </c>
      <c r="F10" s="49">
        <v>2.0</v>
      </c>
      <c r="G10" s="50">
        <f t="shared" si="1"/>
        <v>4</v>
      </c>
      <c r="H10" s="48" t="s">
        <v>59</v>
      </c>
    </row>
    <row r="11" ht="52.5" customHeight="1">
      <c r="A11" s="47" t="s">
        <v>60</v>
      </c>
      <c r="B11" s="47" t="s">
        <v>61</v>
      </c>
      <c r="C11" s="47" t="s">
        <v>62</v>
      </c>
      <c r="D11" s="48" t="s">
        <v>63</v>
      </c>
      <c r="E11" s="49">
        <v>3.0</v>
      </c>
      <c r="F11" s="49">
        <v>3.0</v>
      </c>
      <c r="G11" s="50">
        <f t="shared" si="1"/>
        <v>9</v>
      </c>
      <c r="H11" s="48" t="s">
        <v>64</v>
      </c>
    </row>
    <row r="12" ht="52.5" customHeight="1">
      <c r="A12" s="47" t="s">
        <v>65</v>
      </c>
      <c r="B12" s="47" t="s">
        <v>66</v>
      </c>
      <c r="C12" s="47" t="s">
        <v>67</v>
      </c>
      <c r="D12" s="48" t="s">
        <v>63</v>
      </c>
      <c r="E12" s="49">
        <v>2.0</v>
      </c>
      <c r="F12" s="49">
        <v>3.0</v>
      </c>
      <c r="G12" s="50">
        <f t="shared" si="1"/>
        <v>6</v>
      </c>
      <c r="H12" s="48" t="s">
        <v>68</v>
      </c>
    </row>
    <row r="13" ht="52.5" customHeight="1">
      <c r="A13" s="47" t="s">
        <v>69</v>
      </c>
      <c r="B13" s="47" t="s">
        <v>70</v>
      </c>
      <c r="C13" s="47" t="s">
        <v>71</v>
      </c>
      <c r="D13" s="48" t="s">
        <v>63</v>
      </c>
      <c r="E13" s="49">
        <v>3.0</v>
      </c>
      <c r="F13" s="49">
        <v>2.0</v>
      </c>
      <c r="G13" s="50">
        <f t="shared" si="1"/>
        <v>6</v>
      </c>
      <c r="H13" s="48" t="s">
        <v>72</v>
      </c>
    </row>
    <row r="14" ht="52.5" customHeight="1">
      <c r="A14" s="47" t="s">
        <v>73</v>
      </c>
      <c r="B14" s="47" t="s">
        <v>74</v>
      </c>
      <c r="C14" s="47" t="s">
        <v>75</v>
      </c>
      <c r="D14" s="48" t="s">
        <v>63</v>
      </c>
      <c r="E14" s="49">
        <v>2.0</v>
      </c>
      <c r="F14" s="49">
        <v>2.0</v>
      </c>
      <c r="G14" s="50">
        <f t="shared" si="1"/>
        <v>4</v>
      </c>
      <c r="H14" s="48" t="s">
        <v>76</v>
      </c>
    </row>
    <row r="15" ht="52.5" customHeight="1">
      <c r="A15" s="47" t="s">
        <v>77</v>
      </c>
      <c r="B15" s="47" t="s">
        <v>78</v>
      </c>
      <c r="C15" s="47" t="s">
        <v>79</v>
      </c>
      <c r="D15" s="48" t="s">
        <v>80</v>
      </c>
      <c r="E15" s="49">
        <v>2.0</v>
      </c>
      <c r="F15" s="49">
        <v>2.0</v>
      </c>
      <c r="G15" s="50">
        <f t="shared" si="1"/>
        <v>4</v>
      </c>
      <c r="H15" s="48" t="s">
        <v>81</v>
      </c>
    </row>
    <row r="16" ht="52.5" customHeight="1">
      <c r="A16" s="47" t="s">
        <v>82</v>
      </c>
      <c r="B16" s="47" t="s">
        <v>83</v>
      </c>
      <c r="C16" s="47" t="s">
        <v>84</v>
      </c>
      <c r="D16" s="48" t="s">
        <v>80</v>
      </c>
      <c r="E16" s="49">
        <v>2.0</v>
      </c>
      <c r="F16" s="49">
        <v>2.0</v>
      </c>
      <c r="G16" s="50">
        <f t="shared" si="1"/>
        <v>4</v>
      </c>
      <c r="H16" s="48" t="s">
        <v>85</v>
      </c>
    </row>
    <row r="17" ht="52.5" customHeight="1">
      <c r="A17" s="47" t="s">
        <v>86</v>
      </c>
      <c r="B17" s="47" t="s">
        <v>87</v>
      </c>
      <c r="C17" s="47" t="s">
        <v>88</v>
      </c>
      <c r="D17" s="48" t="s">
        <v>80</v>
      </c>
      <c r="E17" s="49">
        <v>1.0</v>
      </c>
      <c r="F17" s="49">
        <v>2.0</v>
      </c>
      <c r="G17" s="50">
        <f t="shared" si="1"/>
        <v>2</v>
      </c>
      <c r="H17" s="48" t="s">
        <v>89</v>
      </c>
    </row>
    <row r="18" ht="52.5" customHeight="1">
      <c r="A18" s="47" t="s">
        <v>90</v>
      </c>
      <c r="B18" s="47" t="s">
        <v>91</v>
      </c>
      <c r="C18" s="47" t="s">
        <v>92</v>
      </c>
      <c r="D18" s="48" t="s">
        <v>93</v>
      </c>
      <c r="E18" s="49">
        <v>1.0</v>
      </c>
      <c r="F18" s="49">
        <v>3.0</v>
      </c>
      <c r="G18" s="50">
        <f t="shared" si="1"/>
        <v>3</v>
      </c>
      <c r="H18" s="48" t="s">
        <v>94</v>
      </c>
    </row>
    <row r="19" ht="52.5" customHeight="1">
      <c r="A19" s="47" t="s">
        <v>95</v>
      </c>
      <c r="B19" s="47" t="s">
        <v>96</v>
      </c>
      <c r="C19" s="47" t="s">
        <v>97</v>
      </c>
      <c r="D19" s="48" t="s">
        <v>93</v>
      </c>
      <c r="E19" s="49">
        <v>2.0</v>
      </c>
      <c r="F19" s="49">
        <v>3.0</v>
      </c>
      <c r="G19" s="50">
        <f t="shared" si="1"/>
        <v>6</v>
      </c>
      <c r="H19" s="48" t="s">
        <v>98</v>
      </c>
    </row>
    <row r="20" ht="52.5" customHeight="1">
      <c r="A20" s="47" t="s">
        <v>99</v>
      </c>
      <c r="B20" s="47" t="s">
        <v>100</v>
      </c>
      <c r="C20" s="47" t="s">
        <v>101</v>
      </c>
      <c r="D20" s="48" t="s">
        <v>102</v>
      </c>
      <c r="E20" s="49">
        <v>2.0</v>
      </c>
      <c r="F20" s="49">
        <v>3.0</v>
      </c>
      <c r="G20" s="50">
        <f t="shared" si="1"/>
        <v>6</v>
      </c>
      <c r="H20" s="48" t="s">
        <v>103</v>
      </c>
    </row>
    <row r="21" ht="52.5" customHeight="1">
      <c r="A21" s="47" t="s">
        <v>104</v>
      </c>
      <c r="B21" s="47" t="s">
        <v>105</v>
      </c>
      <c r="C21" s="47" t="s">
        <v>106</v>
      </c>
      <c r="D21" s="48" t="s">
        <v>107</v>
      </c>
      <c r="E21" s="49">
        <v>2.0</v>
      </c>
      <c r="F21" s="49">
        <v>3.0</v>
      </c>
      <c r="G21" s="50">
        <f t="shared" si="1"/>
        <v>6</v>
      </c>
      <c r="H21" s="48" t="s">
        <v>108</v>
      </c>
    </row>
    <row r="22" ht="52.5" customHeight="1">
      <c r="A22" s="47" t="s">
        <v>109</v>
      </c>
      <c r="B22" s="47" t="s">
        <v>110</v>
      </c>
      <c r="C22" s="47" t="s">
        <v>111</v>
      </c>
      <c r="D22" s="48" t="s">
        <v>112</v>
      </c>
      <c r="E22" s="49">
        <v>2.0</v>
      </c>
      <c r="F22" s="49">
        <v>2.0</v>
      </c>
      <c r="G22" s="50">
        <f t="shared" si="1"/>
        <v>4</v>
      </c>
      <c r="H22" s="48" t="s">
        <v>113</v>
      </c>
    </row>
    <row r="23" ht="52.5" customHeight="1">
      <c r="A23" s="47" t="s">
        <v>114</v>
      </c>
      <c r="B23" s="47" t="s">
        <v>115</v>
      </c>
      <c r="C23" s="47" t="s">
        <v>116</v>
      </c>
      <c r="D23" s="48" t="s">
        <v>117</v>
      </c>
      <c r="E23" s="49">
        <v>1.0</v>
      </c>
      <c r="F23" s="49">
        <v>3.0</v>
      </c>
      <c r="G23" s="50">
        <f t="shared" si="1"/>
        <v>3</v>
      </c>
      <c r="H23" s="48" t="s">
        <v>118</v>
      </c>
    </row>
    <row r="24" ht="52.5" customHeight="1">
      <c r="A24" s="47" t="s">
        <v>119</v>
      </c>
      <c r="B24" s="47" t="s">
        <v>120</v>
      </c>
      <c r="C24" s="47" t="s">
        <v>121</v>
      </c>
      <c r="D24" s="48" t="s">
        <v>117</v>
      </c>
      <c r="E24" s="49">
        <v>2.0</v>
      </c>
      <c r="F24" s="49">
        <v>2.0</v>
      </c>
      <c r="G24" s="50">
        <f t="shared" si="1"/>
        <v>4</v>
      </c>
      <c r="H24" s="48" t="s">
        <v>122</v>
      </c>
    </row>
    <row r="25" ht="52.5" customHeight="1">
      <c r="A25" s="47" t="s">
        <v>123</v>
      </c>
      <c r="B25" s="47" t="s">
        <v>124</v>
      </c>
      <c r="C25" s="47" t="s">
        <v>125</v>
      </c>
      <c r="D25" s="48" t="s">
        <v>126</v>
      </c>
      <c r="E25" s="49">
        <v>2.0</v>
      </c>
      <c r="F25" s="49">
        <v>2.0</v>
      </c>
      <c r="G25" s="50">
        <f t="shared" si="1"/>
        <v>4</v>
      </c>
      <c r="H25" s="48" t="s">
        <v>127</v>
      </c>
    </row>
    <row r="26" ht="52.5" customHeight="1">
      <c r="A26" s="47" t="s">
        <v>128</v>
      </c>
      <c r="B26" s="47" t="s">
        <v>129</v>
      </c>
      <c r="C26" s="47" t="s">
        <v>130</v>
      </c>
      <c r="D26" s="48" t="s">
        <v>131</v>
      </c>
      <c r="E26" s="49">
        <v>2.0</v>
      </c>
      <c r="F26" s="49">
        <v>2.0</v>
      </c>
      <c r="G26" s="50">
        <f t="shared" si="1"/>
        <v>4</v>
      </c>
      <c r="H26" s="48" t="s">
        <v>132</v>
      </c>
    </row>
    <row r="27" ht="52.5" customHeight="1">
      <c r="A27" s="47" t="s">
        <v>133</v>
      </c>
      <c r="B27" s="47" t="s">
        <v>134</v>
      </c>
      <c r="C27" s="47" t="s">
        <v>135</v>
      </c>
      <c r="D27" s="48" t="s">
        <v>136</v>
      </c>
      <c r="E27" s="49">
        <v>1.0</v>
      </c>
      <c r="F27" s="49">
        <v>2.0</v>
      </c>
      <c r="G27" s="50">
        <f t="shared" si="1"/>
        <v>2</v>
      </c>
      <c r="H27" s="48" t="s">
        <v>137</v>
      </c>
    </row>
    <row r="28" ht="52.5" customHeight="1">
      <c r="A28" s="47" t="s">
        <v>138</v>
      </c>
      <c r="B28" s="47" t="s">
        <v>139</v>
      </c>
      <c r="C28" s="47" t="s">
        <v>140</v>
      </c>
      <c r="D28" s="48" t="s">
        <v>141</v>
      </c>
      <c r="E28" s="49">
        <v>2.0</v>
      </c>
      <c r="F28" s="49">
        <v>2.0</v>
      </c>
      <c r="G28" s="50">
        <f t="shared" si="1"/>
        <v>4</v>
      </c>
      <c r="H28" s="48" t="s">
        <v>142</v>
      </c>
    </row>
    <row r="29" ht="52.5" customHeight="1">
      <c r="A29" s="47" t="s">
        <v>138</v>
      </c>
      <c r="B29" s="53"/>
      <c r="C29" s="53"/>
      <c r="D29" s="54"/>
      <c r="E29" s="55"/>
      <c r="F29" s="55"/>
      <c r="G29" s="50">
        <f t="shared" si="1"/>
        <v>0</v>
      </c>
      <c r="H29" s="54"/>
    </row>
    <row r="30" ht="52.5" customHeight="1">
      <c r="A30" s="47" t="s">
        <v>143</v>
      </c>
      <c r="B30" s="53"/>
      <c r="C30" s="53"/>
      <c r="D30" s="54"/>
      <c r="E30" s="55"/>
      <c r="F30" s="55"/>
      <c r="G30" s="50">
        <f t="shared" si="1"/>
        <v>0</v>
      </c>
      <c r="H30" s="54"/>
    </row>
    <row r="31" ht="52.5" customHeight="1">
      <c r="A31" s="47" t="s">
        <v>144</v>
      </c>
      <c r="B31" s="53"/>
      <c r="C31" s="53"/>
      <c r="D31" s="54"/>
      <c r="E31" s="55"/>
      <c r="F31" s="55"/>
      <c r="G31" s="50">
        <f t="shared" si="1"/>
        <v>0</v>
      </c>
      <c r="H31" s="54"/>
    </row>
    <row r="32" ht="52.5" customHeight="1">
      <c r="A32" s="47" t="s">
        <v>145</v>
      </c>
      <c r="B32" s="53"/>
      <c r="C32" s="53"/>
      <c r="D32" s="54"/>
      <c r="E32" s="55"/>
      <c r="F32" s="55"/>
      <c r="G32" s="50">
        <f t="shared" si="1"/>
        <v>0</v>
      </c>
      <c r="H32" s="54"/>
    </row>
    <row r="33" ht="52.5" customHeight="1">
      <c r="A33" s="47" t="s">
        <v>146</v>
      </c>
      <c r="B33" s="53"/>
      <c r="C33" s="53"/>
      <c r="D33" s="54"/>
      <c r="E33" s="55"/>
      <c r="F33" s="55"/>
      <c r="G33" s="50">
        <f t="shared" si="1"/>
        <v>0</v>
      </c>
      <c r="H33" s="54"/>
    </row>
    <row r="34" ht="52.5" customHeight="1">
      <c r="A34" s="47" t="s">
        <v>147</v>
      </c>
      <c r="B34" s="53"/>
      <c r="C34" s="53"/>
      <c r="D34" s="54"/>
      <c r="E34" s="55"/>
      <c r="F34" s="55"/>
      <c r="G34" s="50">
        <f t="shared" si="1"/>
        <v>0</v>
      </c>
      <c r="H34" s="54"/>
    </row>
    <row r="35" ht="52.5" customHeight="1">
      <c r="A35" s="47" t="s">
        <v>148</v>
      </c>
      <c r="B35" s="53"/>
      <c r="C35" s="53"/>
      <c r="D35" s="54"/>
      <c r="E35" s="55"/>
      <c r="F35" s="55"/>
      <c r="G35" s="50">
        <f t="shared" si="1"/>
        <v>0</v>
      </c>
      <c r="H35" s="54"/>
    </row>
    <row r="36" ht="52.5" customHeight="1">
      <c r="A36" s="47" t="s">
        <v>149</v>
      </c>
      <c r="B36" s="53"/>
      <c r="C36" s="53"/>
      <c r="D36" s="54"/>
      <c r="E36" s="55"/>
      <c r="F36" s="55"/>
      <c r="G36" s="50">
        <f t="shared" si="1"/>
        <v>0</v>
      </c>
      <c r="H36" s="54"/>
    </row>
    <row r="37" ht="52.5" customHeight="1">
      <c r="A37" s="47" t="s">
        <v>150</v>
      </c>
      <c r="B37" s="53"/>
      <c r="C37" s="53"/>
      <c r="D37" s="54"/>
      <c r="E37" s="55"/>
      <c r="F37" s="55"/>
      <c r="G37" s="50">
        <f t="shared" si="1"/>
        <v>0</v>
      </c>
      <c r="H37" s="54"/>
    </row>
    <row r="38" ht="52.5" customHeight="1">
      <c r="A38" s="47" t="s">
        <v>151</v>
      </c>
      <c r="B38" s="53"/>
      <c r="C38" s="53"/>
      <c r="D38" s="54"/>
      <c r="E38" s="55"/>
      <c r="F38" s="55"/>
      <c r="G38" s="50">
        <f t="shared" si="1"/>
        <v>0</v>
      </c>
      <c r="H38" s="54"/>
    </row>
    <row r="39" ht="52.5" customHeight="1">
      <c r="A39" s="47" t="s">
        <v>152</v>
      </c>
      <c r="B39" s="53"/>
      <c r="C39" s="53"/>
      <c r="D39" s="54"/>
      <c r="E39" s="55"/>
      <c r="F39" s="55"/>
      <c r="G39" s="50">
        <f t="shared" si="1"/>
        <v>0</v>
      </c>
      <c r="H39" s="54"/>
    </row>
    <row r="40" ht="52.5" customHeight="1">
      <c r="A40" s="47" t="s">
        <v>153</v>
      </c>
      <c r="B40" s="53"/>
      <c r="C40" s="53"/>
      <c r="D40" s="54"/>
      <c r="E40" s="55"/>
      <c r="F40" s="55"/>
      <c r="G40" s="50">
        <f t="shared" si="1"/>
        <v>0</v>
      </c>
      <c r="H40" s="54"/>
    </row>
    <row r="41" ht="52.5" customHeight="1">
      <c r="A41" s="47" t="s">
        <v>154</v>
      </c>
      <c r="B41" s="53"/>
      <c r="C41" s="53"/>
      <c r="D41" s="54"/>
      <c r="E41" s="55"/>
      <c r="F41" s="55"/>
      <c r="G41" s="50">
        <f t="shared" si="1"/>
        <v>0</v>
      </c>
      <c r="H41" s="54"/>
    </row>
    <row r="42" ht="52.5" customHeight="1">
      <c r="A42" s="47" t="s">
        <v>155</v>
      </c>
      <c r="B42" s="53"/>
      <c r="C42" s="53"/>
      <c r="D42" s="54"/>
      <c r="E42" s="55"/>
      <c r="F42" s="55"/>
      <c r="G42" s="50">
        <f t="shared" si="1"/>
        <v>0</v>
      </c>
      <c r="H42" s="54"/>
    </row>
    <row r="43" ht="52.5" customHeight="1">
      <c r="A43" s="47" t="s">
        <v>156</v>
      </c>
      <c r="B43" s="53"/>
      <c r="C43" s="53"/>
      <c r="D43" s="54"/>
      <c r="E43" s="55"/>
      <c r="F43" s="55"/>
      <c r="G43" s="50">
        <f t="shared" si="1"/>
        <v>0</v>
      </c>
      <c r="H43" s="54"/>
    </row>
    <row r="44" ht="52.5" customHeight="1">
      <c r="A44" s="47" t="s">
        <v>157</v>
      </c>
      <c r="B44" s="53"/>
      <c r="C44" s="53"/>
      <c r="D44" s="54"/>
      <c r="E44" s="55"/>
      <c r="F44" s="55"/>
      <c r="G44" s="50">
        <f t="shared" si="1"/>
        <v>0</v>
      </c>
      <c r="H44" s="54"/>
    </row>
    <row r="45" ht="52.5" customHeight="1">
      <c r="A45" s="47" t="s">
        <v>158</v>
      </c>
      <c r="B45" s="53"/>
      <c r="C45" s="53"/>
      <c r="D45" s="54"/>
      <c r="E45" s="55"/>
      <c r="F45" s="55"/>
      <c r="G45" s="50">
        <f t="shared" si="1"/>
        <v>0</v>
      </c>
      <c r="H45" s="54"/>
    </row>
    <row r="46" ht="52.5" customHeight="1">
      <c r="A46" s="47" t="s">
        <v>159</v>
      </c>
      <c r="B46" s="53"/>
      <c r="C46" s="53"/>
      <c r="D46" s="54"/>
      <c r="E46" s="55"/>
      <c r="F46" s="55"/>
      <c r="G46" s="50">
        <f t="shared" si="1"/>
        <v>0</v>
      </c>
      <c r="H46" s="54"/>
    </row>
    <row r="47" ht="52.5" customHeight="1">
      <c r="A47" s="47" t="s">
        <v>160</v>
      </c>
      <c r="B47" s="53"/>
      <c r="C47" s="53"/>
      <c r="D47" s="54"/>
      <c r="E47" s="55"/>
      <c r="F47" s="55"/>
      <c r="G47" s="50">
        <f t="shared" si="1"/>
        <v>0</v>
      </c>
      <c r="H47" s="54"/>
    </row>
    <row r="48" ht="52.5" customHeight="1">
      <c r="A48" s="47" t="s">
        <v>161</v>
      </c>
      <c r="B48" s="53"/>
      <c r="C48" s="53"/>
      <c r="D48" s="54"/>
      <c r="E48" s="55"/>
      <c r="F48" s="55"/>
      <c r="G48" s="50">
        <f t="shared" si="1"/>
        <v>0</v>
      </c>
      <c r="H48" s="54"/>
    </row>
    <row r="49" ht="52.5" customHeight="1">
      <c r="A49" s="47" t="s">
        <v>162</v>
      </c>
      <c r="B49" s="53"/>
      <c r="C49" s="53"/>
      <c r="D49" s="54"/>
      <c r="E49" s="55"/>
      <c r="F49" s="55"/>
      <c r="G49" s="50">
        <f t="shared" si="1"/>
        <v>0</v>
      </c>
      <c r="H49" s="54"/>
    </row>
    <row r="50" ht="52.5" customHeight="1">
      <c r="A50" s="47" t="s">
        <v>163</v>
      </c>
      <c r="B50" s="53"/>
      <c r="C50" s="53"/>
      <c r="D50" s="54"/>
      <c r="E50" s="55"/>
      <c r="F50" s="55"/>
      <c r="G50" s="50">
        <f t="shared" si="1"/>
        <v>0</v>
      </c>
      <c r="H50" s="54"/>
    </row>
    <row r="51" ht="52.5" customHeight="1">
      <c r="A51" s="47" t="s">
        <v>164</v>
      </c>
      <c r="B51" s="53"/>
      <c r="C51" s="53"/>
      <c r="D51" s="54"/>
      <c r="E51" s="55"/>
      <c r="F51" s="55"/>
      <c r="G51" s="50">
        <f t="shared" si="1"/>
        <v>0</v>
      </c>
      <c r="H51" s="54"/>
    </row>
    <row r="52" ht="52.5" customHeight="1">
      <c r="A52" s="47" t="s">
        <v>165</v>
      </c>
      <c r="B52" s="53"/>
      <c r="C52" s="53"/>
      <c r="D52" s="54"/>
      <c r="E52" s="55"/>
      <c r="F52" s="55"/>
      <c r="G52" s="50">
        <f t="shared" si="1"/>
        <v>0</v>
      </c>
      <c r="H52" s="54"/>
    </row>
    <row r="53" ht="52.5" customHeight="1">
      <c r="A53" s="47" t="s">
        <v>166</v>
      </c>
      <c r="B53" s="53"/>
      <c r="C53" s="53"/>
      <c r="D53" s="54"/>
      <c r="E53" s="55"/>
      <c r="F53" s="55"/>
      <c r="G53" s="50">
        <f t="shared" si="1"/>
        <v>0</v>
      </c>
      <c r="H53" s="54"/>
    </row>
    <row r="54" ht="52.5" customHeight="1">
      <c r="A54" s="47" t="s">
        <v>167</v>
      </c>
      <c r="B54" s="53"/>
      <c r="C54" s="53"/>
      <c r="D54" s="54"/>
      <c r="E54" s="55"/>
      <c r="F54" s="55"/>
      <c r="G54" s="50">
        <f t="shared" si="1"/>
        <v>0</v>
      </c>
      <c r="H54" s="54"/>
    </row>
    <row r="55" ht="52.5" customHeight="1">
      <c r="A55" s="47" t="s">
        <v>168</v>
      </c>
      <c r="B55" s="53"/>
      <c r="C55" s="53"/>
      <c r="D55" s="54"/>
      <c r="E55" s="55"/>
      <c r="F55" s="55"/>
      <c r="G55" s="50">
        <f t="shared" si="1"/>
        <v>0</v>
      </c>
      <c r="H55" s="54"/>
    </row>
    <row r="56" ht="52.5" customHeight="1">
      <c r="A56" s="47" t="s">
        <v>169</v>
      </c>
      <c r="B56" s="53"/>
      <c r="C56" s="53"/>
      <c r="D56" s="54"/>
      <c r="E56" s="55"/>
      <c r="F56" s="55"/>
      <c r="G56" s="50">
        <f t="shared" si="1"/>
        <v>0</v>
      </c>
      <c r="H56" s="54"/>
    </row>
    <row r="57" ht="52.5" customHeight="1">
      <c r="A57" s="47" t="s">
        <v>170</v>
      </c>
      <c r="B57" s="53"/>
      <c r="C57" s="53"/>
      <c r="D57" s="54"/>
      <c r="E57" s="55"/>
      <c r="F57" s="55"/>
      <c r="G57" s="50">
        <f t="shared" si="1"/>
        <v>0</v>
      </c>
      <c r="H57" s="54"/>
    </row>
    <row r="58" ht="52.5" customHeight="1">
      <c r="A58" s="47" t="s">
        <v>171</v>
      </c>
      <c r="B58" s="53"/>
      <c r="C58" s="53"/>
      <c r="D58" s="54"/>
      <c r="E58" s="55"/>
      <c r="F58" s="55"/>
      <c r="G58" s="50">
        <f t="shared" si="1"/>
        <v>0</v>
      </c>
      <c r="H58" s="54"/>
    </row>
    <row r="59" ht="52.5" customHeight="1">
      <c r="A59" s="47" t="s">
        <v>172</v>
      </c>
      <c r="B59" s="53"/>
      <c r="C59" s="53"/>
      <c r="D59" s="54"/>
      <c r="E59" s="55"/>
      <c r="F59" s="55"/>
      <c r="G59" s="50">
        <f t="shared" si="1"/>
        <v>0</v>
      </c>
      <c r="H59" s="54"/>
    </row>
    <row r="60" ht="52.5" customHeight="1">
      <c r="A60" s="47" t="s">
        <v>173</v>
      </c>
      <c r="B60" s="53"/>
      <c r="C60" s="53"/>
      <c r="D60" s="54"/>
      <c r="E60" s="55"/>
      <c r="F60" s="55"/>
      <c r="G60" s="50">
        <f t="shared" si="1"/>
        <v>0</v>
      </c>
      <c r="H60" s="54"/>
    </row>
    <row r="61" ht="52.5" customHeight="1">
      <c r="A61" s="47" t="s">
        <v>174</v>
      </c>
      <c r="B61" s="53"/>
      <c r="C61" s="53"/>
      <c r="D61" s="54"/>
      <c r="E61" s="55"/>
      <c r="F61" s="55"/>
      <c r="G61" s="50">
        <f t="shared" si="1"/>
        <v>0</v>
      </c>
      <c r="H61" s="54"/>
    </row>
    <row r="62" ht="52.5" customHeight="1">
      <c r="A62" s="47" t="s">
        <v>175</v>
      </c>
      <c r="B62" s="53"/>
      <c r="C62" s="53"/>
      <c r="D62" s="54"/>
      <c r="E62" s="55"/>
      <c r="F62" s="55"/>
      <c r="G62" s="50">
        <f t="shared" si="1"/>
        <v>0</v>
      </c>
      <c r="H62" s="54"/>
    </row>
    <row r="63" ht="52.5" customHeight="1">
      <c r="A63" s="47" t="s">
        <v>176</v>
      </c>
      <c r="B63" s="53"/>
      <c r="C63" s="53"/>
      <c r="D63" s="54"/>
      <c r="E63" s="55"/>
      <c r="F63" s="55"/>
      <c r="G63" s="50">
        <f t="shared" si="1"/>
        <v>0</v>
      </c>
      <c r="H63" s="54"/>
    </row>
    <row r="64" ht="52.5" customHeight="1">
      <c r="A64" s="47" t="s">
        <v>177</v>
      </c>
      <c r="B64" s="53"/>
      <c r="C64" s="53"/>
      <c r="D64" s="54"/>
      <c r="E64" s="55"/>
      <c r="F64" s="55"/>
      <c r="G64" s="50">
        <f t="shared" si="1"/>
        <v>0</v>
      </c>
      <c r="H64" s="54"/>
    </row>
    <row r="65" ht="52.5" customHeight="1">
      <c r="A65" s="47" t="s">
        <v>178</v>
      </c>
      <c r="B65" s="53"/>
      <c r="C65" s="53"/>
      <c r="D65" s="54"/>
      <c r="E65" s="55"/>
      <c r="F65" s="55"/>
      <c r="G65" s="50">
        <f t="shared" si="1"/>
        <v>0</v>
      </c>
      <c r="H65" s="54"/>
    </row>
    <row r="66" ht="52.5" customHeight="1">
      <c r="A66" s="47" t="s">
        <v>179</v>
      </c>
      <c r="B66" s="53"/>
      <c r="C66" s="53"/>
      <c r="D66" s="54"/>
      <c r="E66" s="55"/>
      <c r="F66" s="55"/>
      <c r="G66" s="50">
        <f t="shared" si="1"/>
        <v>0</v>
      </c>
      <c r="H66" s="54"/>
    </row>
    <row r="67" ht="15.75" customHeight="1">
      <c r="A67" s="40"/>
      <c r="B67" s="40"/>
      <c r="C67" s="40"/>
      <c r="D67" s="40"/>
      <c r="E67" s="40"/>
      <c r="F67" s="40"/>
      <c r="G67" s="40"/>
      <c r="H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</row>
  </sheetData>
  <conditionalFormatting sqref="E4:F66">
    <cfRule type="containsText" dxfId="0" priority="1" operator="containsText" text="3">
      <formula>NOT(ISERROR(SEARCH(("3"),(E4))))</formula>
    </cfRule>
  </conditionalFormatting>
  <conditionalFormatting sqref="E4:F66">
    <cfRule type="containsText" dxfId="1" priority="2" operator="containsText" text="2">
      <formula>NOT(ISERROR(SEARCH(("2"),(E4))))</formula>
    </cfRule>
  </conditionalFormatting>
  <conditionalFormatting sqref="E4:F66">
    <cfRule type="containsText" dxfId="2" priority="3" operator="containsText" text="1">
      <formula>NOT(ISERROR(SEARCH(("1"),(E4))))</formula>
    </cfRule>
  </conditionalFormatting>
  <conditionalFormatting sqref="G4:G66">
    <cfRule type="containsText" dxfId="3" priority="4" operator="containsText" text="9">
      <formula>NOT(ISERROR(SEARCH(("9"),(G4))))</formula>
    </cfRule>
  </conditionalFormatting>
  <conditionalFormatting sqref="G4:G66">
    <cfRule type="containsText" dxfId="4" priority="5" operator="containsText" text="8">
      <formula>NOT(ISERROR(SEARCH(("8"),(G4))))</formula>
    </cfRule>
  </conditionalFormatting>
  <conditionalFormatting sqref="G4:G66">
    <cfRule type="containsText" dxfId="5" priority="6" operator="containsText" text="7">
      <formula>NOT(ISERROR(SEARCH(("7"),(G4))))</formula>
    </cfRule>
  </conditionalFormatting>
  <conditionalFormatting sqref="G4:G66">
    <cfRule type="containsText" dxfId="6" priority="7" operator="containsText" text="6">
      <formula>NOT(ISERROR(SEARCH(("6"),(G4))))</formula>
    </cfRule>
  </conditionalFormatting>
  <conditionalFormatting sqref="G4:G66">
    <cfRule type="containsText" dxfId="6" priority="8" operator="containsText" text="5">
      <formula>NOT(ISERROR(SEARCH(("5"),(G4))))</formula>
    </cfRule>
  </conditionalFormatting>
  <conditionalFormatting sqref="G4:G66">
    <cfRule type="containsText" dxfId="6" priority="9" operator="containsText" text="4">
      <formula>NOT(ISERROR(SEARCH(("4"),(G4))))</formula>
    </cfRule>
  </conditionalFormatting>
  <conditionalFormatting sqref="G4:G66">
    <cfRule type="containsText" dxfId="2" priority="10" operator="containsText" text="3">
      <formula>NOT(ISERROR(SEARCH(("3"),(G4))))</formula>
    </cfRule>
  </conditionalFormatting>
  <conditionalFormatting sqref="G4:G66">
    <cfRule type="containsText" dxfId="2" priority="11" operator="containsText" text="2">
      <formula>NOT(ISERROR(SEARCH(("2"),(G4))))</formula>
    </cfRule>
  </conditionalFormatting>
  <conditionalFormatting sqref="G4:G66">
    <cfRule type="containsText" dxfId="7" priority="12" operator="containsText" text="1">
      <formula>NOT(ISERROR(SEARCH(("1"),(G4))))</formula>
    </cfRule>
  </conditionalFormatting>
  <conditionalFormatting sqref="J4:J7">
    <cfRule type="containsText" dxfId="0" priority="13" operator="containsText" text="3">
      <formula>NOT(ISERROR(SEARCH(("3"),(J4))))</formula>
    </cfRule>
  </conditionalFormatting>
  <conditionalFormatting sqref="J4:J7">
    <cfRule type="containsText" dxfId="1" priority="14" operator="containsText" text="2">
      <formula>NOT(ISERROR(SEARCH(("2"),(J4))))</formula>
    </cfRule>
  </conditionalFormatting>
  <conditionalFormatting sqref="J4:J7">
    <cfRule type="containsText" dxfId="2" priority="15" operator="containsText" text="1">
      <formula>NOT(ISERROR(SEARCH(("1"),(J4))))</formula>
    </cfRule>
  </conditionalFormatting>
  <conditionalFormatting sqref="L4:L7">
    <cfRule type="containsText" dxfId="0" priority="16" operator="containsText" text="3">
      <formula>NOT(ISERROR(SEARCH(("3"),(L4))))</formula>
    </cfRule>
  </conditionalFormatting>
  <conditionalFormatting sqref="L4:L7">
    <cfRule type="containsText" dxfId="1" priority="17" operator="containsText" text="2">
      <formula>NOT(ISERROR(SEARCH(("2"),(L4))))</formula>
    </cfRule>
  </conditionalFormatting>
  <conditionalFormatting sqref="L4:L7">
    <cfRule type="containsText" dxfId="2" priority="18" operator="containsText" text="1">
      <formula>NOT(ISERROR(SEARCH(("1"),(L4))))</formula>
    </cfRule>
  </conditionalFormatting>
  <dataValidations>
    <dataValidation type="list" allowBlank="1" showErrorMessage="1" sqref="E4:E66">
      <formula1>$J$4:$J$6</formula1>
    </dataValidation>
    <dataValidation type="list" allowBlank="1" showErrorMessage="1" sqref="F4:F66">
      <formula1>$L$4:$L$6</formula1>
    </dataValidation>
  </dataValidations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2016-05-31T16:01:17Z</dcterms:created>
  <dc:creator>ragaz</dc:creator>
</cp:coreProperties>
</file>